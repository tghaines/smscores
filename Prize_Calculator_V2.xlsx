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ced53e2f760134a/Desktop/2026 Coastal Cup/"/>
    </mc:Choice>
  </mc:AlternateContent>
  <xr:revisionPtr revIDLastSave="19" documentId="11_80E75D76DDB4D3FD752159D3311C0AF7671CBA4A" xr6:coauthVersionLast="47" xr6:coauthVersionMax="47" xr10:uidLastSave="{A58DB04D-8419-4E65-A2D7-88BFF8479AB1}"/>
  <bookViews>
    <workbookView xWindow="28680" yWindow="-120" windowWidth="29040" windowHeight="15720" tabRatio="500" xr2:uid="{00000000-000D-0000-FFFF-FFFF00000000}"/>
  </bookViews>
  <sheets>
    <sheet name="Prize Calculator V2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" l="1"/>
  <c r="E17" i="1" s="1"/>
  <c r="C16" i="1"/>
  <c r="D43" i="1"/>
  <c r="D35" i="1"/>
  <c r="E21" i="1"/>
  <c r="E20" i="1"/>
  <c r="E19" i="1"/>
  <c r="E18" i="1"/>
  <c r="E16" i="1"/>
  <c r="D11" i="1"/>
  <c r="D10" i="1"/>
  <c r="D12" i="1" l="1"/>
  <c r="E22" i="1"/>
  <c r="D27" i="1" s="1"/>
  <c r="K21" i="1"/>
  <c r="D25" i="1"/>
  <c r="K22" i="1" l="1"/>
  <c r="D26" i="1"/>
  <c r="D30" i="1"/>
  <c r="D29" i="1"/>
  <c r="K25" i="1"/>
  <c r="K23" i="1"/>
  <c r="K24" i="1" l="1"/>
  <c r="E36" i="1"/>
  <c r="D36" i="1"/>
  <c r="D42" i="1" l="1"/>
  <c r="D41" i="1"/>
  <c r="D40" i="1"/>
  <c r="E42" i="1"/>
  <c r="E41" i="1"/>
  <c r="E40" i="1"/>
</calcChain>
</file>

<file path=xl/sharedStrings.xml><?xml version="1.0" encoding="utf-8"?>
<sst xmlns="http://schemas.openxmlformats.org/spreadsheetml/2006/main" count="65" uniqueCount="63">
  <si>
    <t>🎯  COMPETITION PRIZE MONEY CALCULATOR  v2</t>
  </si>
  <si>
    <t>Blue cells are inputs — black cells calculate automatically — yellow section = expenses</t>
  </si>
  <si>
    <t>1 · EVENT SETTINGS</t>
  </si>
  <si>
    <t>QUICK GUIDE</t>
  </si>
  <si>
    <t>Entry Fee ($ per person)</t>
  </si>
  <si>
    <t>1. Set the entry fee (Section 1)</t>
  </si>
  <si>
    <t>2. Enter number of entries per category (Section 2)</t>
  </si>
  <si>
    <t>2 · ENTRIES BY CATEGORY</t>
  </si>
  <si>
    <t>3. Fill in your expenses table — add rows or change amounts (Section 3)</t>
  </si>
  <si>
    <t>Category</t>
  </si>
  <si>
    <t>Entries</t>
  </si>
  <si>
    <t>Revenue ($)</t>
  </si>
  <si>
    <t>4. Set what % of net funds become prize money (Section 4)</t>
  </si>
  <si>
    <t>F-Open</t>
  </si>
  <si>
    <t>5. Adjust the F-Open / F-TR split % (Section 5) — must total 100%</t>
  </si>
  <si>
    <t>F-TR</t>
  </si>
  <si>
    <t>6. Set the 1st/2nd/3rd payout percentages (Section 6) — must total 100%</t>
  </si>
  <si>
    <t>TOTAL REVENUE</t>
  </si>
  <si>
    <t>SUGGESTED PRIZE %:</t>
  </si>
  <si>
    <t>3 · EXPENSES</t>
  </si>
  <si>
    <t xml:space="preserve">  50% — Conservative (covers costs easily)</t>
  </si>
  <si>
    <t>Expense Item</t>
  </si>
  <si>
    <t>Qty</t>
  </si>
  <si>
    <t>Unit Cost ($)</t>
  </si>
  <si>
    <t>Total ($)</t>
  </si>
  <si>
    <t xml:space="preserve">  60% — Standard (good balance)</t>
  </si>
  <si>
    <t>MDRA Affiliation Fee</t>
  </si>
  <si>
    <t xml:space="preserve">  70% — Generous (tight on costs)</t>
  </si>
  <si>
    <t>Range Hire / Venue</t>
  </si>
  <si>
    <t>Trophies / Medals</t>
  </si>
  <si>
    <t>Printing / Admin</t>
  </si>
  <si>
    <t>SUMMARY</t>
  </si>
  <si>
    <t>Gross Revenue</t>
  </si>
  <si>
    <t>TOTAL EXPENSES</t>
  </si>
  <si>
    <t>Total Expenses</t>
  </si>
  <si>
    <t>Net Available</t>
  </si>
  <si>
    <t>4 · PRIZE POOL</t>
  </si>
  <si>
    <t>Prize Pool</t>
  </si>
  <si>
    <t>Total Revenue</t>
  </si>
  <si>
    <t>Reserve / Retained</t>
  </si>
  <si>
    <t>Less: Total Expenses</t>
  </si>
  <si>
    <t>Net Available for Prizes</t>
  </si>
  <si>
    <t>Prize Pool %</t>
  </si>
  <si>
    <t>TOTAL PRIZE POOL</t>
  </si>
  <si>
    <t>Retained / Reserve</t>
  </si>
  <si>
    <t>5 · PRIZE SPLIT BY CATEGORY</t>
  </si>
  <si>
    <t>Category Split (% of pool)</t>
  </si>
  <si>
    <t>% of total prize pool</t>
  </si>
  <si>
    <t>Split check (must = 100%)</t>
  </si>
  <si>
    <t>Category Prize Pool ($)</t>
  </si>
  <si>
    <t>6 · PLACE PAYOUTS</t>
  </si>
  <si>
    <t>Place</t>
  </si>
  <si>
    <t>% of Pool</t>
  </si>
  <si>
    <t>F-Open ($)</t>
  </si>
  <si>
    <t>F-TR ($)</t>
  </si>
  <si>
    <t>🥇  1st</t>
  </si>
  <si>
    <t>🥈  2nd</t>
  </si>
  <si>
    <t>🥉  3rd</t>
  </si>
  <si>
    <t>Split check (= 100%)</t>
  </si>
  <si>
    <t>7 · MINIMUM ENTRY RULES</t>
  </si>
  <si>
    <t>Min entries to pay 1st</t>
  </si>
  <si>
    <t>Min entries to pay 2nd</t>
  </si>
  <si>
    <t>Min entries to pay 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</si>
</sst>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sz val="11"/>
      <color rgb="FF000000"/>
      <name val="Arial"/>
      <charset val="1"/>
    </font>
    <font>
      <b/>
      <sz val="11"/>
      <color rgb="FF0000FF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1"/>
      <color rgb="FF000000"/>
      <name val="Arial"/>
      <charset val="1"/>
    </font>
    <font>
      <b/>
      <sz val="10"/>
      <name val="Arial"/>
      <charset val="1"/>
    </font>
    <font>
      <sz val="11"/>
      <color rgb="FF0000FF"/>
      <name val="Arial"/>
      <charset val="1"/>
    </font>
    <font>
      <sz val="11"/>
      <color rgb="FF008000"/>
      <name val="Arial"/>
      <charset val="1"/>
    </font>
    <font>
      <b/>
      <sz val="11"/>
      <color rgb="FF008000"/>
      <name val="Arial"/>
      <charset val="1"/>
    </font>
    <font>
      <b/>
      <sz val="12"/>
      <color rgb="FF000000"/>
      <name val="Arial"/>
      <charset val="1"/>
    </font>
    <font>
      <i/>
      <sz val="11"/>
      <color rgb="FF000000"/>
      <name val="Arial"/>
      <charset val="1"/>
    </font>
    <font>
      <b/>
      <i/>
      <sz val="11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4FB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EAD3"/>
      </patternFill>
    </fill>
    <fill>
      <patternFill patternType="solid">
        <fgColor rgb="FFB06000"/>
        <bgColor rgb="FF993300"/>
      </patternFill>
    </fill>
    <fill>
      <patternFill patternType="solid">
        <fgColor rgb="FFFFE08A"/>
        <bgColor rgb="FFFFFF99"/>
      </patternFill>
    </fill>
    <fill>
      <patternFill patternType="solid">
        <fgColor rgb="FFFFF2CC"/>
        <bgColor rgb="FFE2EFDA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D9EAD3"/>
      </patternFill>
    </fill>
    <fill>
      <patternFill patternType="solid">
        <fgColor rgb="FFD9EAD3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left" vertical="center"/>
    </xf>
    <xf numFmtId="164" fontId="5" fillId="3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8" fillId="5" borderId="0" xfId="0" applyNumberFormat="1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center" vertical="center"/>
    </xf>
    <xf numFmtId="164" fontId="10" fillId="8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center" vertical="center"/>
    </xf>
    <xf numFmtId="164" fontId="11" fillId="10" borderId="0" xfId="0" applyNumberFormat="1" applyFont="1" applyFill="1" applyAlignment="1">
      <alignment horizontal="right" vertical="center"/>
    </xf>
    <xf numFmtId="164" fontId="12" fillId="11" borderId="0" xfId="0" applyNumberFormat="1" applyFont="1" applyFill="1" applyAlignment="1">
      <alignment horizontal="right" vertical="center"/>
    </xf>
    <xf numFmtId="164" fontId="11" fillId="10" borderId="0" xfId="0" applyNumberFormat="1" applyFont="1" applyFill="1" applyAlignment="1">
      <alignment horizontal="center" vertical="center"/>
    </xf>
    <xf numFmtId="164" fontId="4" fillId="10" borderId="0" xfId="0" applyNumberFormat="1" applyFont="1" applyFill="1" applyAlignment="1">
      <alignment horizontal="center" vertical="center"/>
    </xf>
    <xf numFmtId="164" fontId="8" fillId="10" borderId="0" xfId="0" applyNumberFormat="1" applyFont="1" applyFill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164" fontId="13" fillId="10" borderId="0" xfId="0" applyNumberFormat="1" applyFont="1" applyFill="1" applyAlignment="1">
      <alignment horizontal="center" vertical="center"/>
    </xf>
    <xf numFmtId="9" fontId="4" fillId="5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9" fontId="8" fillId="5" borderId="0" xfId="0" applyNumberFormat="1" applyFont="1" applyFill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3" fillId="9" borderId="0" xfId="0" applyFont="1" applyFill="1" applyAlignment="1">
      <alignment horizontal="center" vertical="center"/>
    </xf>
    <xf numFmtId="0" fontId="6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3" fillId="6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6000"/>
      <rgbColor rgb="FF800080"/>
      <rgbColor rgb="FF008080"/>
      <rgbColor rgb="FFC0C0C0"/>
      <rgbColor rgb="FF808080"/>
      <rgbColor rgb="FF9999FF"/>
      <rgbColor rgb="FF993366"/>
      <rgbColor rgb="FFFFF2CC"/>
      <rgbColor rgb="FFEEF4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9EAD3"/>
      <rgbColor rgb="FFFFFF99"/>
      <rgbColor rgb="FF99CCFF"/>
      <rgbColor rgb="FFFF99CC"/>
      <rgbColor rgb="FFCC99FF"/>
      <rgbColor rgb="FFFFE08A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48"/>
  <sheetViews>
    <sheetView tabSelected="1" topLeftCell="A14" zoomScaleNormal="100" workbookViewId="0">
      <selection activeCell="D47" sqref="D47"/>
    </sheetView>
  </sheetViews>
  <sheetFormatPr defaultColWidth="8.7109375" defaultRowHeight="15" x14ac:dyDescent="0.25"/>
  <cols>
    <col min="1" max="1" width="2" customWidth="1"/>
    <col min="2" max="2" width="28" customWidth="1"/>
    <col min="3" max="6" width="14" customWidth="1"/>
    <col min="7" max="7" width="2" customWidth="1"/>
    <col min="8" max="8" width="24" customWidth="1"/>
    <col min="9" max="11" width="14" customWidth="1"/>
  </cols>
  <sheetData>
    <row r="1" spans="2:11" ht="9.75" customHeight="1" x14ac:dyDescent="0.25"/>
    <row r="2" spans="2:11" ht="36" customHeight="1" x14ac:dyDescent="0.25">
      <c r="B2" s="34" t="s">
        <v>0</v>
      </c>
      <c r="C2" s="34"/>
      <c r="D2" s="34"/>
      <c r="E2" s="34"/>
      <c r="F2" s="34"/>
      <c r="G2" s="34"/>
      <c r="H2" s="34"/>
      <c r="I2" s="34"/>
      <c r="J2" s="34"/>
      <c r="K2" s="34"/>
    </row>
    <row r="3" spans="2:11" ht="19.5" customHeight="1" x14ac:dyDescent="0.25">
      <c r="B3" s="35" t="s">
        <v>1</v>
      </c>
      <c r="C3" s="35"/>
      <c r="D3" s="35"/>
      <c r="E3" s="35"/>
      <c r="F3" s="35"/>
      <c r="G3" s="35"/>
      <c r="H3" s="35"/>
      <c r="I3" s="35"/>
      <c r="J3" s="35"/>
      <c r="K3" s="35"/>
    </row>
    <row r="5" spans="2:11" ht="15.75" x14ac:dyDescent="0.25">
      <c r="B5" s="21" t="s">
        <v>2</v>
      </c>
      <c r="C5" s="21"/>
      <c r="D5" s="21"/>
      <c r="E5" s="21"/>
      <c r="F5" s="21"/>
      <c r="H5" s="21" t="s">
        <v>3</v>
      </c>
      <c r="I5" s="21"/>
      <c r="J5" s="21"/>
      <c r="K5" s="21"/>
    </row>
    <row r="6" spans="2:11" ht="18" customHeight="1" x14ac:dyDescent="0.25">
      <c r="B6" s="22" t="s">
        <v>4</v>
      </c>
      <c r="C6" s="22"/>
      <c r="D6" s="2">
        <v>58.5</v>
      </c>
      <c r="H6" s="31" t="s">
        <v>5</v>
      </c>
      <c r="I6" s="31"/>
      <c r="J6" s="31"/>
      <c r="K6" s="31"/>
    </row>
    <row r="7" spans="2:11" ht="21.75" customHeight="1" x14ac:dyDescent="0.25">
      <c r="H7" s="31" t="s">
        <v>6</v>
      </c>
      <c r="I7" s="31"/>
      <c r="J7" s="31"/>
      <c r="K7" s="31"/>
    </row>
    <row r="8" spans="2:11" ht="21.75" customHeight="1" x14ac:dyDescent="0.25">
      <c r="B8" s="21" t="s">
        <v>7</v>
      </c>
      <c r="C8" s="21"/>
      <c r="D8" s="21"/>
      <c r="E8" s="21"/>
      <c r="F8" s="21"/>
      <c r="H8" s="31" t="s">
        <v>8</v>
      </c>
      <c r="I8" s="31"/>
      <c r="J8" s="31"/>
      <c r="K8" s="31"/>
    </row>
    <row r="9" spans="2:11" ht="21.75" customHeight="1" x14ac:dyDescent="0.25">
      <c r="B9" s="3" t="s">
        <v>9</v>
      </c>
      <c r="C9" s="3" t="s">
        <v>10</v>
      </c>
      <c r="D9" s="3" t="s">
        <v>11</v>
      </c>
      <c r="E9" s="4"/>
      <c r="H9" s="31" t="s">
        <v>12</v>
      </c>
      <c r="I9" s="31"/>
      <c r="J9" s="31"/>
      <c r="K9" s="31"/>
    </row>
    <row r="10" spans="2:11" ht="21.75" customHeight="1" x14ac:dyDescent="0.25">
      <c r="B10" s="1" t="s">
        <v>13</v>
      </c>
      <c r="C10" s="5">
        <v>13</v>
      </c>
      <c r="D10" s="6">
        <f>C10*D6</f>
        <v>760.5</v>
      </c>
      <c r="H10" s="31" t="s">
        <v>14</v>
      </c>
      <c r="I10" s="31"/>
      <c r="J10" s="31"/>
      <c r="K10" s="31"/>
    </row>
    <row r="11" spans="2:11" ht="21.75" customHeight="1" x14ac:dyDescent="0.25">
      <c r="B11" s="1" t="s">
        <v>15</v>
      </c>
      <c r="C11" s="5">
        <v>6</v>
      </c>
      <c r="D11" s="6">
        <f>C11*D6</f>
        <v>351</v>
      </c>
      <c r="H11" s="31" t="s">
        <v>16</v>
      </c>
      <c r="I11" s="31"/>
      <c r="J11" s="31"/>
      <c r="K11" s="31"/>
    </row>
    <row r="12" spans="2:11" ht="18" customHeight="1" x14ac:dyDescent="0.25">
      <c r="B12" s="28" t="s">
        <v>17</v>
      </c>
      <c r="C12" s="28"/>
      <c r="D12" s="7">
        <f>D10+D11</f>
        <v>1111.5</v>
      </c>
      <c r="H12" s="31"/>
      <c r="I12" s="31"/>
      <c r="J12" s="31"/>
      <c r="K12" s="31"/>
    </row>
    <row r="13" spans="2:11" ht="18" customHeight="1" x14ac:dyDescent="0.25">
      <c r="H13" s="32" t="s">
        <v>18</v>
      </c>
      <c r="I13" s="32"/>
      <c r="J13" s="32"/>
      <c r="K13" s="32"/>
    </row>
    <row r="14" spans="2:11" ht="18" customHeight="1" x14ac:dyDescent="0.25">
      <c r="B14" s="33" t="s">
        <v>19</v>
      </c>
      <c r="C14" s="33"/>
      <c r="D14" s="33"/>
      <c r="E14" s="33"/>
      <c r="F14" s="33"/>
      <c r="H14" s="31" t="s">
        <v>20</v>
      </c>
      <c r="I14" s="31"/>
      <c r="J14" s="31"/>
      <c r="K14" s="31"/>
    </row>
    <row r="15" spans="2:11" ht="18" customHeight="1" x14ac:dyDescent="0.25">
      <c r="B15" s="8" t="s">
        <v>21</v>
      </c>
      <c r="C15" s="8" t="s">
        <v>22</v>
      </c>
      <c r="D15" s="8" t="s">
        <v>23</v>
      </c>
      <c r="E15" s="8" t="s">
        <v>24</v>
      </c>
      <c r="H15" s="31" t="s">
        <v>25</v>
      </c>
      <c r="I15" s="31"/>
      <c r="J15" s="31"/>
      <c r="K15" s="31"/>
    </row>
    <row r="16" spans="2:11" ht="18" customHeight="1" x14ac:dyDescent="0.25">
      <c r="B16" s="9" t="s">
        <v>26</v>
      </c>
      <c r="C16" s="10">
        <f>SUM(C10:C11)</f>
        <v>19</v>
      </c>
      <c r="D16" s="11">
        <v>15</v>
      </c>
      <c r="E16" s="6">
        <f>IF(C16="",0,C16*D16)</f>
        <v>285</v>
      </c>
      <c r="H16" s="31" t="s">
        <v>27</v>
      </c>
      <c r="I16" s="31"/>
      <c r="J16" s="31"/>
      <c r="K16" s="31"/>
    </row>
    <row r="17" spans="2:11" x14ac:dyDescent="0.25">
      <c r="B17" s="9" t="s">
        <v>28</v>
      </c>
      <c r="C17" s="10">
        <f>C16</f>
        <v>19</v>
      </c>
      <c r="D17" s="11">
        <v>15</v>
      </c>
      <c r="E17" s="6">
        <f>IF(C17="",0,C17*D17)</f>
        <v>285</v>
      </c>
    </row>
    <row r="18" spans="2:11" x14ac:dyDescent="0.25">
      <c r="B18" s="9" t="s">
        <v>29</v>
      </c>
      <c r="C18" s="10">
        <v>0</v>
      </c>
      <c r="D18" s="11">
        <v>0</v>
      </c>
      <c r="E18" s="6">
        <f>IF(C18="",0,C18*D18)</f>
        <v>0</v>
      </c>
    </row>
    <row r="19" spans="2:11" ht="15.75" x14ac:dyDescent="0.25">
      <c r="B19" s="9" t="s">
        <v>30</v>
      </c>
      <c r="C19" s="10">
        <v>0</v>
      </c>
      <c r="D19" s="11">
        <v>0</v>
      </c>
      <c r="E19" s="6">
        <f>IF(C19="",0,C19*D19)</f>
        <v>0</v>
      </c>
      <c r="H19" s="30" t="s">
        <v>31</v>
      </c>
      <c r="I19" s="30"/>
      <c r="J19" s="30"/>
      <c r="K19" s="30"/>
    </row>
    <row r="20" spans="2:11" x14ac:dyDescent="0.25">
      <c r="B20" s="9"/>
      <c r="C20" s="10"/>
      <c r="D20" s="11"/>
      <c r="E20" s="12">
        <f>IF(OR(C20="",D20=""),0,C20*D20)</f>
        <v>0</v>
      </c>
      <c r="H20" s="27"/>
      <c r="I20" s="27"/>
      <c r="J20" s="27"/>
      <c r="K20" s="27"/>
    </row>
    <row r="21" spans="2:11" x14ac:dyDescent="0.25">
      <c r="B21" s="9"/>
      <c r="C21" s="10"/>
      <c r="D21" s="11"/>
      <c r="E21" s="12">
        <f>IF(OR(C21="",D21=""),0,C21*D21)</f>
        <v>0</v>
      </c>
      <c r="H21" s="27" t="s">
        <v>32</v>
      </c>
      <c r="I21" s="27"/>
      <c r="J21" s="27"/>
      <c r="K21" s="13">
        <f>D12</f>
        <v>1111.5</v>
      </c>
    </row>
    <row r="22" spans="2:11" x14ac:dyDescent="0.25">
      <c r="B22" s="28" t="s">
        <v>33</v>
      </c>
      <c r="C22" s="28"/>
      <c r="D22" s="28"/>
      <c r="E22" s="7">
        <f>SUM(E16:E21)</f>
        <v>570</v>
      </c>
      <c r="H22" s="27" t="s">
        <v>34</v>
      </c>
      <c r="I22" s="27"/>
      <c r="J22" s="27"/>
      <c r="K22" s="13">
        <f>-E22</f>
        <v>-570</v>
      </c>
    </row>
    <row r="23" spans="2:11" x14ac:dyDescent="0.25">
      <c r="H23" s="29" t="s">
        <v>35</v>
      </c>
      <c r="I23" s="29"/>
      <c r="J23" s="29"/>
      <c r="K23" s="14">
        <f>D27</f>
        <v>541.5</v>
      </c>
    </row>
    <row r="24" spans="2:11" ht="15.75" x14ac:dyDescent="0.25">
      <c r="B24" s="30" t="s">
        <v>36</v>
      </c>
      <c r="C24" s="30"/>
      <c r="D24" s="30"/>
      <c r="E24" s="30"/>
      <c r="F24" s="30"/>
      <c r="H24" s="29" t="s">
        <v>37</v>
      </c>
      <c r="I24" s="29"/>
      <c r="J24" s="29"/>
      <c r="K24" s="14">
        <f>D29</f>
        <v>541.5</v>
      </c>
    </row>
    <row r="25" spans="2:11" x14ac:dyDescent="0.25">
      <c r="B25" s="27" t="s">
        <v>38</v>
      </c>
      <c r="C25" s="27"/>
      <c r="D25" s="15">
        <f>D12</f>
        <v>1111.5</v>
      </c>
      <c r="H25" s="27" t="s">
        <v>39</v>
      </c>
      <c r="I25" s="27"/>
      <c r="J25" s="27"/>
      <c r="K25" s="13">
        <f>D27*(1-D28)</f>
        <v>0</v>
      </c>
    </row>
    <row r="26" spans="2:11" x14ac:dyDescent="0.25">
      <c r="B26" s="27" t="s">
        <v>40</v>
      </c>
      <c r="C26" s="27"/>
      <c r="D26" s="16">
        <f>-E22</f>
        <v>-570</v>
      </c>
    </row>
    <row r="27" spans="2:11" x14ac:dyDescent="0.25">
      <c r="B27" s="24" t="s">
        <v>41</v>
      </c>
      <c r="C27" s="24"/>
      <c r="D27" s="17">
        <f>D12-E22</f>
        <v>541.5</v>
      </c>
    </row>
    <row r="28" spans="2:11" x14ac:dyDescent="0.25">
      <c r="B28" s="22" t="s">
        <v>42</v>
      </c>
      <c r="C28" s="22"/>
      <c r="D28" s="18">
        <v>1</v>
      </c>
    </row>
    <row r="29" spans="2:11" ht="15.75" x14ac:dyDescent="0.25">
      <c r="B29" s="24" t="s">
        <v>43</v>
      </c>
      <c r="C29" s="24"/>
      <c r="D29" s="19">
        <f>D27*D28</f>
        <v>541.5</v>
      </c>
    </row>
    <row r="30" spans="2:11" x14ac:dyDescent="0.25">
      <c r="B30" s="27" t="s">
        <v>44</v>
      </c>
      <c r="C30" s="27"/>
      <c r="D30" s="16">
        <f>D27*(1-D28)</f>
        <v>0</v>
      </c>
    </row>
    <row r="32" spans="2:11" ht="15.75" x14ac:dyDescent="0.25">
      <c r="B32" s="21" t="s">
        <v>45</v>
      </c>
      <c r="C32" s="21"/>
      <c r="D32" s="21"/>
      <c r="E32" s="21"/>
      <c r="F32" s="21"/>
    </row>
    <row r="33" spans="2:6" x14ac:dyDescent="0.25">
      <c r="B33" s="22" t="s">
        <v>46</v>
      </c>
      <c r="C33" s="22"/>
      <c r="D33" s="3" t="s">
        <v>13</v>
      </c>
      <c r="E33" s="3" t="s">
        <v>15</v>
      </c>
    </row>
    <row r="34" spans="2:6" x14ac:dyDescent="0.25">
      <c r="B34" s="22" t="s">
        <v>47</v>
      </c>
      <c r="C34" s="22"/>
      <c r="D34" s="18">
        <v>0.7</v>
      </c>
      <c r="E34" s="18">
        <v>0.3</v>
      </c>
    </row>
    <row r="35" spans="2:6" x14ac:dyDescent="0.25">
      <c r="B35" s="23" t="s">
        <v>48</v>
      </c>
      <c r="C35" s="23"/>
      <c r="D35" s="20">
        <f>D34+E34</f>
        <v>1</v>
      </c>
    </row>
    <row r="36" spans="2:6" x14ac:dyDescent="0.25">
      <c r="B36" s="24" t="s">
        <v>49</v>
      </c>
      <c r="C36" s="24"/>
      <c r="D36" s="17">
        <f>D29*D34</f>
        <v>379.04999999999995</v>
      </c>
      <c r="E36" s="17">
        <f>D29*E34</f>
        <v>162.44999999999999</v>
      </c>
    </row>
    <row r="38" spans="2:6" ht="15.75" x14ac:dyDescent="0.25">
      <c r="B38" s="21" t="s">
        <v>50</v>
      </c>
      <c r="C38" s="21"/>
      <c r="D38" s="21"/>
      <c r="E38" s="21"/>
      <c r="F38" s="21"/>
    </row>
    <row r="39" spans="2:6" x14ac:dyDescent="0.25">
      <c r="B39" s="3" t="s">
        <v>51</v>
      </c>
      <c r="C39" s="3" t="s">
        <v>52</v>
      </c>
      <c r="D39" s="3" t="s">
        <v>53</v>
      </c>
      <c r="E39" s="3" t="s">
        <v>54</v>
      </c>
    </row>
    <row r="40" spans="2:6" x14ac:dyDescent="0.25">
      <c r="B40" s="1" t="s">
        <v>55</v>
      </c>
      <c r="C40" s="18">
        <v>0.5</v>
      </c>
      <c r="D40" s="6">
        <f>D36*C40</f>
        <v>189.52499999999998</v>
      </c>
      <c r="E40" s="6">
        <f>E36*C40</f>
        <v>81.224999999999994</v>
      </c>
    </row>
    <row r="41" spans="2:6" x14ac:dyDescent="0.25">
      <c r="B41" s="1" t="s">
        <v>56</v>
      </c>
      <c r="C41" s="18">
        <v>0.3</v>
      </c>
      <c r="D41" s="6">
        <f>D36*C41</f>
        <v>113.71499999999999</v>
      </c>
      <c r="E41" s="6">
        <f>E36*C41</f>
        <v>48.734999999999992</v>
      </c>
    </row>
    <row r="42" spans="2:6" x14ac:dyDescent="0.25">
      <c r="B42" s="1" t="s">
        <v>57</v>
      </c>
      <c r="C42" s="18">
        <v>0.2</v>
      </c>
      <c r="D42" s="6">
        <f>D36*C42</f>
        <v>75.809999999999988</v>
      </c>
      <c r="E42" s="6">
        <f>E36*C42</f>
        <v>32.49</v>
      </c>
    </row>
    <row r="43" spans="2:6" x14ac:dyDescent="0.25">
      <c r="B43" s="25" t="s">
        <v>58</v>
      </c>
      <c r="C43" s="25"/>
      <c r="D43" s="26">
        <f>SUM(C40:C42)</f>
        <v>1</v>
      </c>
      <c r="E43" s="26"/>
    </row>
    <row r="45" spans="2:6" ht="15.75" x14ac:dyDescent="0.25">
      <c r="B45" s="21" t="s">
        <v>59</v>
      </c>
      <c r="C45" s="21"/>
      <c r="D45" s="21"/>
      <c r="E45" s="21"/>
      <c r="F45" s="21"/>
    </row>
    <row r="46" spans="2:6" x14ac:dyDescent="0.25">
      <c r="B46" s="22" t="s">
        <v>60</v>
      </c>
      <c r="C46" s="22"/>
      <c r="D46" s="5">
        <v>6</v>
      </c>
    </row>
    <row r="47" spans="2:6" x14ac:dyDescent="0.25">
      <c r="B47" s="22" t="s">
        <v>61</v>
      </c>
      <c r="C47" s="22"/>
      <c r="D47" s="5">
        <v>6</v>
      </c>
    </row>
    <row r="48" spans="2:6" x14ac:dyDescent="0.25">
      <c r="B48" s="22" t="s">
        <v>62</v>
      </c>
      <c r="C48" s="22"/>
      <c r="D48" s="5">
        <v>6</v>
      </c>
    </row>
  </sheetData>
  <mergeCells count="46">
    <mergeCell ref="B2:K2"/>
    <mergeCell ref="B3:K3"/>
    <mergeCell ref="B5:F5"/>
    <mergeCell ref="H5:K5"/>
    <mergeCell ref="B6:C6"/>
    <mergeCell ref="H6:K6"/>
    <mergeCell ref="H7:K7"/>
    <mergeCell ref="B8:F8"/>
    <mergeCell ref="H8:K8"/>
    <mergeCell ref="H9:K9"/>
    <mergeCell ref="H10:K10"/>
    <mergeCell ref="H11:K11"/>
    <mergeCell ref="B12:C12"/>
    <mergeCell ref="H12:K12"/>
    <mergeCell ref="H13:K13"/>
    <mergeCell ref="B14:F14"/>
    <mergeCell ref="H14:K14"/>
    <mergeCell ref="H15:K15"/>
    <mergeCell ref="H16:K16"/>
    <mergeCell ref="H19:K19"/>
    <mergeCell ref="H20:K20"/>
    <mergeCell ref="H21:J21"/>
    <mergeCell ref="B22:D22"/>
    <mergeCell ref="H22:J22"/>
    <mergeCell ref="H23:J23"/>
    <mergeCell ref="B24:F24"/>
    <mergeCell ref="H24:J24"/>
    <mergeCell ref="B25:C25"/>
    <mergeCell ref="H25:J25"/>
    <mergeCell ref="B26:C26"/>
    <mergeCell ref="B27:C27"/>
    <mergeCell ref="B28:C28"/>
    <mergeCell ref="B29:C29"/>
    <mergeCell ref="B30:C30"/>
    <mergeCell ref="B32:F32"/>
    <mergeCell ref="B33:C33"/>
    <mergeCell ref="B34:C34"/>
    <mergeCell ref="B45:F45"/>
    <mergeCell ref="B46:C46"/>
    <mergeCell ref="B47:C47"/>
    <mergeCell ref="B48:C48"/>
    <mergeCell ref="B35:C35"/>
    <mergeCell ref="B36:C36"/>
    <mergeCell ref="B38:F38"/>
    <mergeCell ref="B43:C43"/>
    <mergeCell ref="D43:E4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Prize Calculator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Trent Haines</cp:lastModifiedBy>
  <cp:revision>0</cp:revision>
  <dcterms:created xsi:type="dcterms:W3CDTF">2026-02-18T21:35:46Z</dcterms:created>
  <dcterms:modified xsi:type="dcterms:W3CDTF">2026-02-19T22:19:30Z</dcterms:modified>
  <dc:language>en-US</dc:language>
</cp:coreProperties>
</file>
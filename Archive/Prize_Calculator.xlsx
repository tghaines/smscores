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dced53e2f760134a/Desktop/2026 Coastal Cup/"/>
    </mc:Choice>
  </mc:AlternateContent>
  <xr:revisionPtr revIDLastSave="15" documentId="11_F1DF5A91B448FE6F96C6C6DAD1F6EDB664EE7D6B" xr6:coauthVersionLast="47" xr6:coauthVersionMax="47" xr10:uidLastSave="{9D92F19D-97DB-41A1-8D89-ED8ABFC88BED}"/>
  <bookViews>
    <workbookView xWindow="28680" yWindow="-120" windowWidth="29040" windowHeight="15720" tabRatio="500" xr2:uid="{00000000-000D-0000-FFFF-FFFF00000000}"/>
  </bookViews>
  <sheets>
    <sheet name="Prize Calculator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2" i="1" l="1"/>
  <c r="D13" i="1"/>
  <c r="C13" i="1"/>
  <c r="E12" i="1"/>
  <c r="K6" i="1" s="1"/>
  <c r="L6" i="1" s="1"/>
  <c r="C8" i="1"/>
  <c r="D14" i="1" l="1"/>
  <c r="C14" i="1"/>
  <c r="C15" i="1" s="1"/>
  <c r="E13" i="1"/>
  <c r="D15" i="1" l="1"/>
  <c r="E21" i="1"/>
  <c r="E20" i="1"/>
  <c r="E19" i="1"/>
  <c r="E15" i="1"/>
  <c r="E14" i="1"/>
  <c r="D19" i="1"/>
  <c r="D20" i="1"/>
  <c r="D21" i="1"/>
  <c r="E22" i="1" l="1"/>
  <c r="D34" i="1"/>
  <c r="D35" i="1" s="1"/>
  <c r="D36" i="1" s="1"/>
  <c r="D22" i="1"/>
  <c r="C34" i="1"/>
  <c r="C35" i="1" l="1"/>
  <c r="E34" i="1"/>
  <c r="C36" i="1" l="1"/>
  <c r="E36" i="1" s="1"/>
  <c r="E35" i="1"/>
</calcChain>
</file>

<file path=xl/sharedStrings.xml><?xml version="1.0" encoding="utf-8"?>
<sst xmlns="http://schemas.openxmlformats.org/spreadsheetml/2006/main" count="48" uniqueCount="42">
  <si>
    <t>🎯 COMPETITION PRIZE MONEY CALCULATOR</t>
  </si>
  <si>
    <t>Blue cells are inputs — everything else calculates automatically</t>
  </si>
  <si>
    <t>EVENT SETTINGS</t>
  </si>
  <si>
    <t>QUICK GUIDE</t>
  </si>
  <si>
    <t>Entry Fee</t>
  </si>
  <si>
    <t>• Blue cells = your inputs</t>
  </si>
  <si>
    <t>Prize Pool %</t>
  </si>
  <si>
    <t>← % of entry fees going to prizes</t>
  </si>
  <si>
    <t>• Change entry fee, prize %, entries</t>
  </si>
  <si>
    <t>Retained for Costs</t>
  </si>
  <si>
    <t>• Everything recalculates automatically</t>
  </si>
  <si>
    <t>ENTRIES</t>
  </si>
  <si>
    <t>SUGGESTED PRIZE %:</t>
  </si>
  <si>
    <t>F-Open</t>
  </si>
  <si>
    <t>F-TR</t>
  </si>
  <si>
    <t>TOTAL</t>
  </si>
  <si>
    <t>50% — Conservative (covers costs easily)</t>
  </si>
  <si>
    <t>Number of Entries</t>
  </si>
  <si>
    <t>60% — Standard (good balance)</t>
  </si>
  <si>
    <t>Gross Revenue</t>
  </si>
  <si>
    <t>70% — Generous (tight on costs)</t>
  </si>
  <si>
    <t>Prize Pool</t>
  </si>
  <si>
    <t>PAYOUT SPLIT</t>
  </si>
  <si>
    <t>% of Pool</t>
  </si>
  <si>
    <t>🥇  1st Place</t>
  </si>
  <si>
    <t>🥈  2nd Place</t>
  </si>
  <si>
    <t>🥉  3rd Place</t>
  </si>
  <si>
    <t>Split Check (should = 100%)</t>
  </si>
  <si>
    <t>MINIMUM ENTRY RULES</t>
  </si>
  <si>
    <t>Min entries to pay 1st</t>
  </si>
  <si>
    <t>Min entries to pay 2nd</t>
  </si>
  <si>
    <t>Min entries to pay 3rd</t>
  </si>
  <si>
    <t>Note: Payout cells above show $0 when entries</t>
  </si>
  <si>
    <t>are below the minimum threshold for that place.</t>
  </si>
  <si>
    <t>SUMMARY</t>
  </si>
  <si>
    <t>Total Prize Money Paid</t>
  </si>
  <si>
    <t>Unallocated Prize Pool</t>
  </si>
  <si>
    <t>Total Retained + Unallocated</t>
  </si>
  <si>
    <t>Unallocated pool occurs when a category has too few entries</t>
  </si>
  <si>
    <t>to pay all 3 places. That money stays in the kitty.</t>
  </si>
  <si>
    <t>Costs</t>
  </si>
  <si>
    <t>MDRA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</si>
</sst>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164" formatCode="\$#,##0.00"/>
  </numFmts>
  <fonts count="8" x14ac:knownFonts="1">
    <font>
      <sz val="11"/>
      <color theme="1"/>
      <name val="Calibri"/>
      <family val="2"/>
      <charset val="1"/>
    </font>
    <font>
      <b/>
      <sz val="16"/>
      <color rgb="FF1A2233"/>
      <name val="Arial"/>
      <charset val="1"/>
    </font>
    <font>
      <i/>
      <sz val="9"/>
      <color rgb="FF888888"/>
      <name val="Arial"/>
      <charset val="1"/>
    </font>
    <font>
      <b/>
      <sz val="12"/>
      <color rgb="FF2C3E50"/>
      <name val="Arial"/>
      <charset val="1"/>
    </font>
    <font>
      <sz val="10"/>
      <color rgb="FF333333"/>
      <name val="Arial"/>
      <charset val="1"/>
    </font>
    <font>
      <b/>
      <sz val="11"/>
      <color rgb="FF0000FF"/>
      <name val="Arial"/>
      <charset val="1"/>
    </font>
    <font>
      <b/>
      <sz val="11"/>
      <color rgb="FF000000"/>
      <name val="Arial"/>
      <charset val="1"/>
    </font>
    <font>
      <b/>
      <sz val="11"/>
      <color rgb="FFFFFFFF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ECF0F1"/>
        <bgColor rgb="FFE8F4FD"/>
      </patternFill>
    </fill>
    <fill>
      <patternFill patternType="solid">
        <fgColor rgb="FFFFF9E6"/>
        <bgColor rgb="FFFFFFFF"/>
      </patternFill>
    </fill>
    <fill>
      <patternFill patternType="solid">
        <fgColor rgb="FF2C3E50"/>
        <bgColor rgb="FF333333"/>
      </patternFill>
    </fill>
    <fill>
      <patternFill patternType="solid">
        <fgColor rgb="FFD5F5E3"/>
        <bgColor rgb="FFE8F4FD"/>
      </patternFill>
    </fill>
    <fill>
      <patternFill patternType="solid">
        <fgColor rgb="FFE8F4FD"/>
        <bgColor rgb="FFECF0F1"/>
      </patternFill>
    </fill>
    <fill>
      <patternFill patternType="solid">
        <fgColor rgb="FFFDE8E8"/>
        <bgColor rgb="FFECF0F1"/>
      </patternFill>
    </fill>
  </fills>
  <borders count="3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2" borderId="2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164" fontId="5" fillId="3" borderId="2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9" fontId="5" fillId="3" borderId="2" xfId="0" applyNumberFormat="1" applyFont="1" applyFill="1" applyBorder="1" applyAlignment="1">
      <alignment horizontal="center" vertical="center"/>
    </xf>
    <xf numFmtId="9" fontId="6" fillId="0" borderId="2" xfId="0" applyNumberFormat="1" applyFont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164" fontId="6" fillId="0" borderId="2" xfId="0" applyNumberFormat="1" applyFont="1" applyBorder="1" applyAlignment="1">
      <alignment horizontal="center" vertical="center"/>
    </xf>
    <xf numFmtId="164" fontId="6" fillId="5" borderId="2" xfId="0" applyNumberFormat="1" applyFont="1" applyFill="1" applyBorder="1" applyAlignment="1">
      <alignment horizontal="center" vertical="center"/>
    </xf>
    <xf numFmtId="164" fontId="6" fillId="6" borderId="2" xfId="0" applyNumberFormat="1" applyFont="1" applyFill="1" applyBorder="1" applyAlignment="1">
      <alignment horizontal="center" vertical="center"/>
    </xf>
    <xf numFmtId="164" fontId="6" fillId="7" borderId="2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9E6"/>
      <rgbColor rgb="FFE8F4F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CF0F1"/>
      <rgbColor rgb="FFD5F5E3"/>
      <rgbColor rgb="FFFDE8E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1A2233"/>
      <rgbColor rgb="FF993300"/>
      <rgbColor rgb="FF993366"/>
      <rgbColor rgb="FF2C3E50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L39"/>
  <sheetViews>
    <sheetView tabSelected="1" topLeftCell="A3" zoomScaleNormal="100" workbookViewId="0">
      <selection activeCell="C8" sqref="C8"/>
    </sheetView>
  </sheetViews>
  <sheetFormatPr defaultColWidth="8.7109375" defaultRowHeight="15" x14ac:dyDescent="0.25"/>
  <cols>
    <col min="1" max="1" width="3" customWidth="1"/>
    <col min="2" max="2" width="28" customWidth="1"/>
    <col min="3" max="5" width="18" customWidth="1"/>
    <col min="6" max="6" width="5" customWidth="1"/>
    <col min="7" max="7" width="35" customWidth="1"/>
    <col min="12" max="12" width="9.140625" bestFit="1" customWidth="1"/>
  </cols>
  <sheetData>
    <row r="2" spans="2:12" ht="20.25" x14ac:dyDescent="0.25">
      <c r="B2" s="15" t="s">
        <v>0</v>
      </c>
      <c r="C2" s="15"/>
      <c r="D2" s="15"/>
      <c r="E2" s="15"/>
    </row>
    <row r="3" spans="2:12" x14ac:dyDescent="0.25">
      <c r="B3" s="16" t="s">
        <v>1</v>
      </c>
      <c r="C3" s="16"/>
      <c r="D3" s="16"/>
      <c r="E3" s="16"/>
    </row>
    <row r="5" spans="2:12" ht="15.75" x14ac:dyDescent="0.25">
      <c r="B5" s="14" t="s">
        <v>2</v>
      </c>
      <c r="C5" s="14"/>
      <c r="D5" s="14"/>
      <c r="E5" s="14"/>
      <c r="G5" s="1" t="s">
        <v>3</v>
      </c>
      <c r="I5" t="s">
        <v>40</v>
      </c>
    </row>
    <row r="6" spans="2:12" x14ac:dyDescent="0.25">
      <c r="B6" s="2" t="s">
        <v>4</v>
      </c>
      <c r="C6" s="3">
        <v>58.5</v>
      </c>
      <c r="G6" s="4" t="s">
        <v>5</v>
      </c>
      <c r="I6" t="s">
        <v>41</v>
      </c>
      <c r="J6" s="17">
        <v>25</v>
      </c>
      <c r="K6">
        <f>E12</f>
        <v>50</v>
      </c>
      <c r="L6" s="17">
        <f>K6*J6</f>
        <v>1250</v>
      </c>
    </row>
    <row r="7" spans="2:12" x14ac:dyDescent="0.25">
      <c r="B7" s="2" t="s">
        <v>6</v>
      </c>
      <c r="C7" s="5">
        <v>0.3</v>
      </c>
      <c r="D7" s="4" t="s">
        <v>7</v>
      </c>
      <c r="G7" s="4" t="s">
        <v>8</v>
      </c>
    </row>
    <row r="8" spans="2:12" x14ac:dyDescent="0.25">
      <c r="B8" s="2" t="s">
        <v>9</v>
      </c>
      <c r="C8" s="6">
        <f>1-C7</f>
        <v>0.7</v>
      </c>
      <c r="G8" s="4" t="s">
        <v>10</v>
      </c>
    </row>
    <row r="9" spans="2:12" x14ac:dyDescent="0.25">
      <c r="G9" s="4"/>
    </row>
    <row r="10" spans="2:12" ht="15.75" x14ac:dyDescent="0.25">
      <c r="B10" s="14" t="s">
        <v>11</v>
      </c>
      <c r="C10" s="14"/>
      <c r="D10" s="14"/>
      <c r="E10" s="14"/>
      <c r="G10" s="1" t="s">
        <v>12</v>
      </c>
    </row>
    <row r="11" spans="2:12" x14ac:dyDescent="0.25">
      <c r="B11" s="7"/>
      <c r="C11" s="7" t="s">
        <v>13</v>
      </c>
      <c r="D11" s="7" t="s">
        <v>14</v>
      </c>
      <c r="E11" s="7" t="s">
        <v>15</v>
      </c>
      <c r="G11" s="4" t="s">
        <v>16</v>
      </c>
    </row>
    <row r="12" spans="2:12" x14ac:dyDescent="0.25">
      <c r="B12" s="2" t="s">
        <v>17</v>
      </c>
      <c r="C12" s="8">
        <v>35</v>
      </c>
      <c r="D12" s="8">
        <v>15</v>
      </c>
      <c r="E12" s="9">
        <f>C12+D12</f>
        <v>50</v>
      </c>
      <c r="G12" s="4" t="s">
        <v>18</v>
      </c>
    </row>
    <row r="13" spans="2:12" x14ac:dyDescent="0.25">
      <c r="B13" s="2" t="s">
        <v>19</v>
      </c>
      <c r="C13" s="10">
        <f>C12*$C$6</f>
        <v>2047.5</v>
      </c>
      <c r="D13" s="10">
        <f>D12*$C$6</f>
        <v>877.5</v>
      </c>
      <c r="E13" s="11">
        <f>C13+D13</f>
        <v>2925</v>
      </c>
      <c r="G13" s="4" t="s">
        <v>20</v>
      </c>
    </row>
    <row r="14" spans="2:12" x14ac:dyDescent="0.25">
      <c r="B14" s="2" t="s">
        <v>21</v>
      </c>
      <c r="C14" s="12">
        <f>C13*$C$7</f>
        <v>614.25</v>
      </c>
      <c r="D14" s="13">
        <f>D13*$C$7</f>
        <v>263.25</v>
      </c>
      <c r="E14" s="11">
        <f>C14+D14</f>
        <v>877.5</v>
      </c>
    </row>
    <row r="15" spans="2:12" x14ac:dyDescent="0.25">
      <c r="B15" s="2" t="s">
        <v>9</v>
      </c>
      <c r="C15" s="10">
        <f>C13-C14</f>
        <v>1433.25</v>
      </c>
      <c r="D15" s="10">
        <f>D13-D14</f>
        <v>614.25</v>
      </c>
      <c r="E15" s="11">
        <f>C15+D15</f>
        <v>2047.5</v>
      </c>
    </row>
    <row r="17" spans="2:5" ht="15.75" x14ac:dyDescent="0.25">
      <c r="B17" s="14" t="s">
        <v>22</v>
      </c>
      <c r="C17" s="14"/>
      <c r="D17" s="14"/>
      <c r="E17" s="14"/>
    </row>
    <row r="18" spans="2:5" x14ac:dyDescent="0.25">
      <c r="B18" s="7"/>
      <c r="C18" s="7" t="s">
        <v>23</v>
      </c>
      <c r="D18" s="7" t="s">
        <v>13</v>
      </c>
      <c r="E18" s="7" t="s">
        <v>14</v>
      </c>
    </row>
    <row r="19" spans="2:5" x14ac:dyDescent="0.25">
      <c r="B19" s="2" t="s">
        <v>24</v>
      </c>
      <c r="C19" s="5">
        <v>0.5</v>
      </c>
      <c r="D19" s="12">
        <f>IF($C$12&gt;=C25,C19*$C$14,0)</f>
        <v>307.125</v>
      </c>
      <c r="E19" s="13">
        <f>IF($D$12&gt;=C25,C19*$D$14,0)</f>
        <v>131.625</v>
      </c>
    </row>
    <row r="20" spans="2:5" x14ac:dyDescent="0.25">
      <c r="B20" s="2" t="s">
        <v>25</v>
      </c>
      <c r="C20" s="5">
        <v>0.3</v>
      </c>
      <c r="D20" s="12">
        <f>IF($C$12&gt;=C26,C20*$C$14,0)</f>
        <v>184.27500000000001</v>
      </c>
      <c r="E20" s="13">
        <f>IF($D$12&gt;=C26,C20*$D$14,0)</f>
        <v>78.974999999999994</v>
      </c>
    </row>
    <row r="21" spans="2:5" x14ac:dyDescent="0.25">
      <c r="B21" s="2" t="s">
        <v>26</v>
      </c>
      <c r="C21" s="5">
        <v>0.2</v>
      </c>
      <c r="D21" s="12">
        <f>IF($C$12&gt;=C27,C21*$C$14,0)</f>
        <v>122.85000000000001</v>
      </c>
      <c r="E21" s="13">
        <f>IF($D$12&gt;=C27,C21*$D$14,0)</f>
        <v>52.650000000000006</v>
      </c>
    </row>
    <row r="22" spans="2:5" x14ac:dyDescent="0.25">
      <c r="B22" s="2" t="s">
        <v>27</v>
      </c>
      <c r="C22" s="6">
        <f>SUM(C19:C21)</f>
        <v>1</v>
      </c>
      <c r="D22" s="10">
        <f>SUM(D19:D21)</f>
        <v>614.25</v>
      </c>
      <c r="E22" s="10">
        <f>SUM(E19:E21)</f>
        <v>263.25</v>
      </c>
    </row>
    <row r="24" spans="2:5" ht="15.75" x14ac:dyDescent="0.25">
      <c r="B24" s="14" t="s">
        <v>28</v>
      </c>
      <c r="C24" s="14"/>
      <c r="D24" s="14"/>
      <c r="E24" s="14"/>
    </row>
    <row r="25" spans="2:5" x14ac:dyDescent="0.25">
      <c r="B25" s="2" t="s">
        <v>29</v>
      </c>
      <c r="C25" s="8">
        <v>3</v>
      </c>
    </row>
    <row r="26" spans="2:5" x14ac:dyDescent="0.25">
      <c r="B26" s="2" t="s">
        <v>30</v>
      </c>
      <c r="C26" s="8">
        <v>6</v>
      </c>
    </row>
    <row r="27" spans="2:5" x14ac:dyDescent="0.25">
      <c r="B27" s="2" t="s">
        <v>31</v>
      </c>
      <c r="C27" s="8">
        <v>11</v>
      </c>
    </row>
    <row r="29" spans="2:5" x14ac:dyDescent="0.25">
      <c r="B29" s="4" t="s">
        <v>32</v>
      </c>
    </row>
    <row r="30" spans="2:5" x14ac:dyDescent="0.25">
      <c r="B30" s="4" t="s">
        <v>33</v>
      </c>
    </row>
    <row r="32" spans="2:5" ht="15.75" x14ac:dyDescent="0.25">
      <c r="B32" s="14" t="s">
        <v>34</v>
      </c>
      <c r="C32" s="14"/>
      <c r="D32" s="14"/>
      <c r="E32" s="14"/>
    </row>
    <row r="33" spans="2:5" x14ac:dyDescent="0.25">
      <c r="B33" s="7"/>
      <c r="C33" s="7" t="s">
        <v>13</v>
      </c>
      <c r="D33" s="7" t="s">
        <v>14</v>
      </c>
      <c r="E33" s="7" t="s">
        <v>15</v>
      </c>
    </row>
    <row r="34" spans="2:5" x14ac:dyDescent="0.25">
      <c r="B34" s="2" t="s">
        <v>35</v>
      </c>
      <c r="C34" s="12">
        <f>SUM(D19:D21)</f>
        <v>614.25</v>
      </c>
      <c r="D34" s="13">
        <f>SUM(E19:E21)</f>
        <v>263.25</v>
      </c>
      <c r="E34" s="11">
        <f>C34+D34</f>
        <v>877.5</v>
      </c>
    </row>
    <row r="35" spans="2:5" x14ac:dyDescent="0.25">
      <c r="B35" s="2" t="s">
        <v>36</v>
      </c>
      <c r="C35" s="10">
        <f>C14-C34</f>
        <v>0</v>
      </c>
      <c r="D35" s="10">
        <f>D14-D34</f>
        <v>0</v>
      </c>
      <c r="E35" s="10">
        <f>C35+D35</f>
        <v>0</v>
      </c>
    </row>
    <row r="36" spans="2:5" x14ac:dyDescent="0.25">
      <c r="B36" s="2" t="s">
        <v>37</v>
      </c>
      <c r="C36" s="10">
        <f>C15+C35</f>
        <v>1433.25</v>
      </c>
      <c r="D36" s="10">
        <f>D15+D35</f>
        <v>614.25</v>
      </c>
      <c r="E36" s="11">
        <f>C36+D36</f>
        <v>2047.5</v>
      </c>
    </row>
    <row r="38" spans="2:5" x14ac:dyDescent="0.25">
      <c r="B38" s="4" t="s">
        <v>38</v>
      </c>
    </row>
    <row r="39" spans="2:5" x14ac:dyDescent="0.25">
      <c r="B39" s="4" t="s">
        <v>39</v>
      </c>
    </row>
  </sheetData>
  <mergeCells count="7">
    <mergeCell ref="B24:E24"/>
    <mergeCell ref="B32:E32"/>
    <mergeCell ref="B2:E2"/>
    <mergeCell ref="B3:E3"/>
    <mergeCell ref="B5:E5"/>
    <mergeCell ref="B10:E10"/>
    <mergeCell ref="B17:E17"/>
  </mergeCells>
  <pageMargins left="0.75" right="0.75" top="1" bottom="1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Prize Calculator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Trent Haines</cp:lastModifiedBy>
  <cp:revision>0</cp:revision>
  <dcterms:created xsi:type="dcterms:W3CDTF">2026-02-09T22:48:36Z</dcterms:created>
  <dcterms:modified xsi:type="dcterms:W3CDTF">2026-02-18T21:31:43Z</dcterms:modified>
  <dc:language>en-US</dc:language>
</cp:coreProperties>
</file>